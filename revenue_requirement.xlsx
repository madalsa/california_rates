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alsa/california_rates_new/"/>
    </mc:Choice>
  </mc:AlternateContent>
  <xr:revisionPtr revIDLastSave="0" documentId="13_ncr:1_{95809E2B-D6B7-EF47-9538-7E75ADE63E31}" xr6:coauthVersionLast="47" xr6:coauthVersionMax="47" xr10:uidLastSave="{00000000-0000-0000-0000-000000000000}"/>
  <bookViews>
    <workbookView xWindow="0" yWindow="980" windowWidth="34560" windowHeight="18800" activeTab="3" xr2:uid="{4C094F8C-6A72-894B-97FD-7C6162BD1C77}"/>
  </bookViews>
  <sheets>
    <sheet name="rr_ab67" sheetId="1" r:id="rId1"/>
    <sheet name="rate_base" sheetId="2" r:id="rId2"/>
    <sheet name="detailed_rr" sheetId="3" r:id="rId3"/>
    <sheet name="rr_lineitem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3" l="1"/>
  <c r="F48" i="3"/>
  <c r="D48" i="3"/>
  <c r="C19" i="2"/>
  <c r="D19" i="2"/>
  <c r="B19" i="2"/>
  <c r="C18" i="2"/>
  <c r="D18" i="2"/>
  <c r="B18" i="2"/>
  <c r="C16" i="2"/>
  <c r="D16" i="2"/>
  <c r="E16" i="2"/>
  <c r="B16" i="2"/>
  <c r="E14" i="2"/>
  <c r="E15" i="2"/>
  <c r="E13" i="2"/>
  <c r="B15" i="1"/>
  <c r="B13" i="1"/>
  <c r="C14" i="1"/>
  <c r="D14" i="1"/>
  <c r="B14" i="1"/>
</calcChain>
</file>

<file path=xl/sharedStrings.xml><?xml version="1.0" encoding="utf-8"?>
<sst xmlns="http://schemas.openxmlformats.org/spreadsheetml/2006/main" count="135" uniqueCount="76">
  <si>
    <t>Table 2.1 : 2024 Electric IOU Authorized Revenue Requirements ($000)</t>
  </si>
  <si>
    <t>Revenue Component</t>
  </si>
  <si>
    <t>PG&amp;E</t>
  </si>
  <si>
    <t>SCE</t>
  </si>
  <si>
    <t>SDG&amp;E</t>
  </si>
  <si>
    <t>Generation / Energy Procurement</t>
  </si>
  <si>
    <t>Purchased Power</t>
  </si>
  <si>
    <t>Utility Owned Generation Fuel</t>
  </si>
  <si>
    <t>General Rate Case</t>
  </si>
  <si>
    <t>Distribution — General Rate Case</t>
  </si>
  <si>
    <t>Transmission</t>
  </si>
  <si>
    <t>Demand Side Management and Public Purpose Programs</t>
  </si>
  <si>
    <t>Bonds and Fees</t>
  </si>
  <si>
    <t>Wildfire Costs2.5</t>
  </si>
  <si>
    <t>Total 2024 Revenue Requirement2.6</t>
  </si>
  <si>
    <t>adding b3 to b10</t>
  </si>
  <si>
    <t>adding b3 to b11</t>
  </si>
  <si>
    <t>adding b3, b6, b7,  b8, b9, b10</t>
  </si>
  <si>
    <t>2024 Revenue Requirements ($000)</t>
  </si>
  <si>
    <t>Rate Component</t>
  </si>
  <si>
    <t>Mandated by Federal/State Statute</t>
  </si>
  <si>
    <t>CPUC Mandate</t>
  </si>
  <si>
    <t>Generation Total</t>
  </si>
  <si>
    <t>General Rate Case Revenues</t>
  </si>
  <si>
    <t>CPUC Decisions</t>
  </si>
  <si>
    <t>Transmission Total</t>
  </si>
  <si>
    <t>Reliability Services</t>
  </si>
  <si>
    <t>FERC Order 459</t>
  </si>
  <si>
    <t>Transmission Access Charge</t>
  </si>
  <si>
    <t>FERC</t>
  </si>
  <si>
    <t>Transmission Owner Rate Case Revenues</t>
  </si>
  <si>
    <t>Other - FERC Rate Case Revenues</t>
  </si>
  <si>
    <t>Other</t>
  </si>
  <si>
    <t>Distribution Total</t>
  </si>
  <si>
    <t>Nuclear Decommissioning</t>
  </si>
  <si>
    <t>PUC Sections 8321-8330, 10 CFR 50.33, 50.75</t>
  </si>
  <si>
    <t>Demand Side Management and Customer Programs Total*</t>
  </si>
  <si>
    <t>Self-Generation Incentive Program</t>
  </si>
  <si>
    <t>PUC Section 379.6(a)</t>
  </si>
  <si>
    <t>California Solar Initiative</t>
  </si>
  <si>
    <t>Demand Response Program</t>
  </si>
  <si>
    <t>PUC Section 740.10, 740.7, 740.9, 740.11</t>
  </si>
  <si>
    <t>Energy Efficiency, PU Code 399.8</t>
  </si>
  <si>
    <t>PUC Section 399.8</t>
  </si>
  <si>
    <t>CPUC Decisions, E-3792</t>
  </si>
  <si>
    <t>Energy Efficiency (non-PUC 399.8)</t>
  </si>
  <si>
    <t>Electricity Program Investment Charge</t>
  </si>
  <si>
    <t>Low Income Energy Efficiency</t>
  </si>
  <si>
    <t>PUC Sections 739.1, 739.2, 2790</t>
  </si>
  <si>
    <t>CPUC Decisions, Resolutions</t>
  </si>
  <si>
    <t>CARE Admin., CARE amortized in rates</t>
  </si>
  <si>
    <t>PUC Section 739.1, 739.2</t>
  </si>
  <si>
    <t>Renewables</t>
  </si>
  <si>
    <t>CPUC Resolution E-3792</t>
  </si>
  <si>
    <t>Other PPP</t>
  </si>
  <si>
    <t>Other Regulatory Total*</t>
  </si>
  <si>
    <t>Catastrophic Events (CEMA)</t>
  </si>
  <si>
    <t>PUC Section 454.9(a)</t>
  </si>
  <si>
    <t>Hazardous Substance Mechanism</t>
  </si>
  <si>
    <t>CPUC Fee</t>
  </si>
  <si>
    <t>PUC Section 431</t>
  </si>
  <si>
    <t>CPUC Resolution M-4816</t>
  </si>
  <si>
    <t>DWR Power Charge Revenues</t>
  </si>
  <si>
    <t>AB1X, Water Code, Division 27</t>
  </si>
  <si>
    <t>Wildfire Fund NBC</t>
  </si>
  <si>
    <t>AB 1054</t>
  </si>
  <si>
    <t>Ongoing Competition Transition Charge</t>
  </si>
  <si>
    <t>AB 57, PUC Section 367(a) &amp; 369</t>
  </si>
  <si>
    <t>Energy Recovery Bonds (PG&amp;E only)</t>
  </si>
  <si>
    <t>SB 772, PUC Section 848-848.7</t>
  </si>
  <si>
    <t>Franchise Fee Surcharge**</t>
  </si>
  <si>
    <t>PUC Sections 6350-6354, 6231</t>
  </si>
  <si>
    <t>Electric Total</t>
  </si>
  <si>
    <t>-</t>
  </si>
  <si>
    <t>*Recovered in distribution rate component</t>
  </si>
  <si>
    <t>**Not reported elsewhere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</si>
</sst>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;\(#,##0\)"/>
  </numFmts>
  <fonts count="6" x14ac:knownFonts="1"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5" fillId="3" borderId="0" xfId="0" applyFont="1" applyFill="1"/>
    <xf numFmtId="168" fontId="4" fillId="3" borderId="0" xfId="0" applyNumberFormat="1" applyFont="1" applyFill="1" applyAlignment="1">
      <alignment horizontal="right"/>
    </xf>
    <xf numFmtId="0" fontId="5" fillId="0" borderId="0" xfId="0" applyFont="1"/>
    <xf numFmtId="168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10</xdr:row>
      <xdr:rowOff>63249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F6AFFA-67F2-A448-E86E-B02CBC7A3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2095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303A-620A-FE4B-8A13-3618D616772F}">
  <dimension ref="A1:D16"/>
  <sheetViews>
    <sheetView workbookViewId="0">
      <selection activeCell="A23" sqref="A23"/>
    </sheetView>
  </sheetViews>
  <sheetFormatPr baseColWidth="10" defaultRowHeight="29" x14ac:dyDescent="0.35"/>
  <cols>
    <col min="1" max="1" width="65" style="1" customWidth="1"/>
    <col min="2" max="2" width="38.6640625" style="1" customWidth="1"/>
    <col min="3" max="3" width="24" style="1" customWidth="1"/>
    <col min="4" max="4" width="27.33203125" style="1" customWidth="1"/>
    <col min="5" max="16384" width="10.83203125" style="1"/>
  </cols>
  <sheetData>
    <row r="1" spans="1:4" x14ac:dyDescent="0.35">
      <c r="A1" s="1" t="s">
        <v>0</v>
      </c>
    </row>
    <row r="2" spans="1:4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5">
      <c r="A3" s="1" t="s">
        <v>5</v>
      </c>
      <c r="B3" s="2">
        <v>5053954</v>
      </c>
      <c r="C3" s="2">
        <v>5069512</v>
      </c>
      <c r="D3" s="2">
        <v>1001227</v>
      </c>
    </row>
    <row r="4" spans="1:4" x14ac:dyDescent="0.35">
      <c r="A4" s="1" t="s">
        <v>6</v>
      </c>
      <c r="B4" s="2">
        <v>2358098</v>
      </c>
      <c r="C4" s="2">
        <v>4048229</v>
      </c>
      <c r="D4" s="2">
        <v>243417</v>
      </c>
    </row>
    <row r="5" spans="1:4" x14ac:dyDescent="0.35">
      <c r="A5" s="1" t="s">
        <v>7</v>
      </c>
      <c r="B5" s="2">
        <v>592031</v>
      </c>
      <c r="C5" s="2">
        <v>268102</v>
      </c>
      <c r="D5" s="2">
        <v>599983</v>
      </c>
    </row>
    <row r="6" spans="1:4" x14ac:dyDescent="0.35">
      <c r="A6" s="1" t="s">
        <v>8</v>
      </c>
      <c r="B6" s="2">
        <v>2103825</v>
      </c>
      <c r="C6" s="2">
        <v>753182</v>
      </c>
      <c r="D6" s="2">
        <v>157828</v>
      </c>
    </row>
    <row r="7" spans="1:4" x14ac:dyDescent="0.35">
      <c r="A7" s="1" t="s">
        <v>9</v>
      </c>
      <c r="B7" s="2">
        <v>8741084</v>
      </c>
      <c r="C7" s="2">
        <v>8937477</v>
      </c>
      <c r="D7" s="2">
        <v>1722187</v>
      </c>
    </row>
    <row r="8" spans="1:4" x14ac:dyDescent="0.35">
      <c r="A8" s="1" t="s">
        <v>10</v>
      </c>
      <c r="B8" s="2">
        <v>2663244</v>
      </c>
      <c r="C8" s="2">
        <v>1116093</v>
      </c>
      <c r="D8" s="2">
        <v>685245</v>
      </c>
    </row>
    <row r="9" spans="1:4" x14ac:dyDescent="0.35">
      <c r="A9" s="1" t="s">
        <v>11</v>
      </c>
      <c r="B9" s="2">
        <v>812954</v>
      </c>
      <c r="C9" s="2">
        <v>1038436</v>
      </c>
      <c r="D9" s="2">
        <v>608973</v>
      </c>
    </row>
    <row r="10" spans="1:4" x14ac:dyDescent="0.35">
      <c r="A10" s="1" t="s">
        <v>12</v>
      </c>
      <c r="B10" s="2">
        <v>752674</v>
      </c>
      <c r="C10" s="2">
        <v>595351</v>
      </c>
      <c r="D10" s="2">
        <v>84674</v>
      </c>
    </row>
    <row r="11" spans="1:4" x14ac:dyDescent="0.35">
      <c r="A11" s="1" t="s">
        <v>13</v>
      </c>
      <c r="B11" s="2">
        <v>5404304</v>
      </c>
      <c r="C11" s="2">
        <v>2930405</v>
      </c>
      <c r="D11" s="2">
        <v>413873</v>
      </c>
    </row>
    <row r="12" spans="1:4" x14ac:dyDescent="0.35">
      <c r="A12" s="1" t="s">
        <v>14</v>
      </c>
      <c r="B12" s="2">
        <v>20341236</v>
      </c>
      <c r="C12" s="2">
        <v>17530066</v>
      </c>
      <c r="D12" s="2">
        <v>4233072</v>
      </c>
    </row>
    <row r="13" spans="1:4" x14ac:dyDescent="0.35">
      <c r="A13" s="1" t="s">
        <v>15</v>
      </c>
      <c r="B13" s="2">
        <f>SUM(B3:B10)</f>
        <v>23077864</v>
      </c>
    </row>
    <row r="14" spans="1:4" x14ac:dyDescent="0.35">
      <c r="A14" s="1" t="s">
        <v>16</v>
      </c>
      <c r="B14" s="2">
        <f>SUM(B3:B11)</f>
        <v>28482168</v>
      </c>
      <c r="C14" s="2">
        <f t="shared" ref="C14:D14" si="0">SUM(C3:C11)</f>
        <v>24756787</v>
      </c>
      <c r="D14" s="2">
        <f t="shared" si="0"/>
        <v>5517407</v>
      </c>
    </row>
    <row r="15" spans="1:4" x14ac:dyDescent="0.35">
      <c r="A15" s="1" t="s">
        <v>17</v>
      </c>
      <c r="B15" s="2">
        <f>SUM(B3+B6+B7+B8+B9+B10)</f>
        <v>20127735</v>
      </c>
    </row>
    <row r="16" spans="1:4" x14ac:dyDescent="0.35">
      <c r="B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45D5-20C6-5B4C-B646-2A89513ACA42}">
  <dimension ref="B13:E19"/>
  <sheetViews>
    <sheetView workbookViewId="0">
      <selection activeCell="B19" sqref="B19:D19"/>
    </sheetView>
  </sheetViews>
  <sheetFormatPr baseColWidth="10" defaultRowHeight="16" x14ac:dyDescent="0.2"/>
  <sheetData>
    <row r="13" spans="2:5" x14ac:dyDescent="0.2">
      <c r="B13">
        <v>5040605</v>
      </c>
      <c r="C13">
        <v>2277457</v>
      </c>
      <c r="D13">
        <v>541077</v>
      </c>
      <c r="E13">
        <f>SUM(B13:D13)</f>
        <v>7859139</v>
      </c>
    </row>
    <row r="14" spans="2:5" x14ac:dyDescent="0.2">
      <c r="B14">
        <v>25347030</v>
      </c>
      <c r="C14">
        <v>31720775</v>
      </c>
      <c r="D14">
        <v>7646617</v>
      </c>
      <c r="E14">
        <f t="shared" ref="E14:E15" si="0">SUM(B14:D14)</f>
        <v>64714422</v>
      </c>
    </row>
    <row r="15" spans="2:5" x14ac:dyDescent="0.2">
      <c r="B15">
        <v>11600356</v>
      </c>
      <c r="C15">
        <v>7429296</v>
      </c>
      <c r="D15">
        <v>5402844</v>
      </c>
      <c r="E15">
        <f t="shared" si="0"/>
        <v>24432496</v>
      </c>
    </row>
    <row r="16" spans="2:5" x14ac:dyDescent="0.2">
      <c r="B16">
        <f>SUM(B13:B15)</f>
        <v>41987991</v>
      </c>
      <c r="C16">
        <f t="shared" ref="C16:E16" si="1">SUM(C13:C15)</f>
        <v>41427528</v>
      </c>
      <c r="D16">
        <f t="shared" si="1"/>
        <v>13590538</v>
      </c>
      <c r="E16">
        <f t="shared" si="1"/>
        <v>97006057</v>
      </c>
    </row>
    <row r="18" spans="2:4" x14ac:dyDescent="0.2">
      <c r="B18">
        <f>B14+B15</f>
        <v>36947386</v>
      </c>
      <c r="C18">
        <f t="shared" ref="C18:D18" si="2">C14+C15</f>
        <v>39150071</v>
      </c>
      <c r="D18">
        <f t="shared" si="2"/>
        <v>13049461</v>
      </c>
    </row>
    <row r="19" spans="2:4" x14ac:dyDescent="0.2">
      <c r="B19">
        <f>B18/B16</f>
        <v>0.8799512698761891</v>
      </c>
      <c r="C19">
        <f t="shared" ref="C19:D19" si="3">C18/C16</f>
        <v>0.9450255154012569</v>
      </c>
      <c r="D19">
        <f t="shared" si="3"/>
        <v>0.9601872273194777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108A-2648-1C4A-8886-65A1E3C94F6A}">
  <dimension ref="A1:F50"/>
  <sheetViews>
    <sheetView topLeftCell="A18" workbookViewId="0">
      <selection activeCell="A47" activeCellId="12" sqref="A2:XFD2 A3:XFD3 A6:XFD6 A13:XFD13 A16:XFD16 A18:XFD18 A31:XFD31 A37:XFD37 A39:XFD39 A41:XFD41 A43:XFD43 A45:XFD45 A47:XFD47"/>
    </sheetView>
  </sheetViews>
  <sheetFormatPr baseColWidth="10" defaultColWidth="8.83203125" defaultRowHeight="16" x14ac:dyDescent="0.2"/>
  <cols>
    <col min="1" max="1" width="32" customWidth="1"/>
    <col min="2" max="3" width="22" customWidth="1"/>
    <col min="4" max="6" width="15" customWidth="1"/>
  </cols>
  <sheetData>
    <row r="1" spans="1:6" x14ac:dyDescent="0.2">
      <c r="A1" s="3" t="s">
        <v>18</v>
      </c>
      <c r="B1" s="4"/>
      <c r="C1" s="4"/>
      <c r="D1" s="4"/>
      <c r="E1" s="4"/>
      <c r="F1" s="4"/>
    </row>
    <row r="2" spans="1:6" ht="30" x14ac:dyDescent="0.2">
      <c r="A2" s="5" t="s">
        <v>19</v>
      </c>
      <c r="B2" s="5" t="s">
        <v>20</v>
      </c>
      <c r="C2" s="5" t="s">
        <v>21</v>
      </c>
      <c r="D2" s="5" t="s">
        <v>2</v>
      </c>
      <c r="E2" s="5" t="s">
        <v>3</v>
      </c>
      <c r="F2" s="5" t="s">
        <v>4</v>
      </c>
    </row>
    <row r="3" spans="1:6" x14ac:dyDescent="0.2">
      <c r="A3" s="6" t="s">
        <v>22</v>
      </c>
      <c r="B3" s="7"/>
      <c r="C3" s="7"/>
      <c r="D3" s="8">
        <v>5223556</v>
      </c>
      <c r="E3" s="8">
        <v>5069512</v>
      </c>
      <c r="F3" s="8">
        <v>991446</v>
      </c>
    </row>
    <row r="4" spans="1:6" x14ac:dyDescent="0.2">
      <c r="A4" s="9" t="s">
        <v>23</v>
      </c>
      <c r="B4" s="9"/>
      <c r="C4" s="9" t="s">
        <v>24</v>
      </c>
      <c r="D4" s="10">
        <v>2103825</v>
      </c>
      <c r="E4" s="10">
        <v>753182</v>
      </c>
      <c r="F4" s="10">
        <v>157828</v>
      </c>
    </row>
    <row r="5" spans="1:6" x14ac:dyDescent="0.2">
      <c r="A5" s="9"/>
      <c r="B5" s="9"/>
      <c r="C5" s="9"/>
      <c r="D5" s="10"/>
      <c r="E5" s="10"/>
      <c r="F5" s="10"/>
    </row>
    <row r="6" spans="1:6" x14ac:dyDescent="0.2">
      <c r="A6" s="6" t="s">
        <v>25</v>
      </c>
      <c r="B6" s="7"/>
      <c r="C6" s="7"/>
      <c r="D6" s="8">
        <v>2663244</v>
      </c>
      <c r="E6" s="8">
        <v>1116093</v>
      </c>
      <c r="F6" s="8">
        <v>685245</v>
      </c>
    </row>
    <row r="7" spans="1:6" x14ac:dyDescent="0.2">
      <c r="A7" s="9" t="s">
        <v>26</v>
      </c>
      <c r="B7" s="9" t="s">
        <v>27</v>
      </c>
      <c r="C7" s="9"/>
      <c r="D7" s="10">
        <v>6868</v>
      </c>
      <c r="E7" s="10">
        <v>4738</v>
      </c>
      <c r="F7" s="10">
        <v>139.30699999999999</v>
      </c>
    </row>
    <row r="8" spans="1:6" x14ac:dyDescent="0.2">
      <c r="A8" s="9" t="s">
        <v>28</v>
      </c>
      <c r="B8" s="9" t="s">
        <v>29</v>
      </c>
      <c r="C8" s="9"/>
      <c r="D8" s="10">
        <v>370049</v>
      </c>
      <c r="E8" s="10">
        <v>1395311</v>
      </c>
      <c r="F8" s="10">
        <v>-277788</v>
      </c>
    </row>
    <row r="9" spans="1:6" x14ac:dyDescent="0.2">
      <c r="A9" s="9" t="s">
        <v>30</v>
      </c>
      <c r="B9" s="9" t="s">
        <v>29</v>
      </c>
      <c r="C9" s="9"/>
      <c r="D9" s="10">
        <v>2293963</v>
      </c>
      <c r="E9" s="10">
        <v>0</v>
      </c>
      <c r="F9" s="10">
        <v>1003495</v>
      </c>
    </row>
    <row r="10" spans="1:6" x14ac:dyDescent="0.2">
      <c r="A10" s="9" t="s">
        <v>31</v>
      </c>
      <c r="B10" s="9" t="s">
        <v>29</v>
      </c>
      <c r="C10" s="9"/>
      <c r="D10" s="10">
        <v>-7636</v>
      </c>
      <c r="E10" s="10">
        <v>-283956</v>
      </c>
      <c r="F10" s="10">
        <v>-48905</v>
      </c>
    </row>
    <row r="11" spans="1:6" x14ac:dyDescent="0.2">
      <c r="A11" s="9" t="s">
        <v>32</v>
      </c>
      <c r="B11" s="9"/>
      <c r="C11" s="9"/>
      <c r="D11" s="10">
        <v>0</v>
      </c>
      <c r="E11" s="10">
        <v>0</v>
      </c>
      <c r="F11" s="10">
        <v>8304</v>
      </c>
    </row>
    <row r="12" spans="1:6" x14ac:dyDescent="0.2">
      <c r="A12" s="9"/>
      <c r="B12" s="9"/>
      <c r="C12" s="9"/>
      <c r="D12" s="10"/>
      <c r="E12" s="10"/>
      <c r="F12" s="10"/>
    </row>
    <row r="13" spans="1:6" x14ac:dyDescent="0.2">
      <c r="A13" s="6" t="s">
        <v>33</v>
      </c>
      <c r="B13" s="7"/>
      <c r="C13" s="7"/>
      <c r="D13" s="8">
        <v>9884656</v>
      </c>
      <c r="E13" s="8">
        <v>8937477</v>
      </c>
      <c r="F13" s="8">
        <v>1722187</v>
      </c>
    </row>
    <row r="14" spans="1:6" x14ac:dyDescent="0.2">
      <c r="A14" s="9" t="s">
        <v>23</v>
      </c>
      <c r="B14" s="9"/>
      <c r="C14" s="9" t="s">
        <v>24</v>
      </c>
      <c r="D14" s="10">
        <v>9884656</v>
      </c>
      <c r="E14" s="10">
        <v>8937477</v>
      </c>
      <c r="F14" s="10">
        <v>1722187</v>
      </c>
    </row>
    <row r="15" spans="1:6" x14ac:dyDescent="0.2">
      <c r="A15" s="9"/>
      <c r="B15" s="9"/>
      <c r="C15" s="9"/>
      <c r="D15" s="10"/>
      <c r="E15" s="10"/>
      <c r="F15" s="10"/>
    </row>
    <row r="16" spans="1:6" x14ac:dyDescent="0.2">
      <c r="A16" s="6" t="s">
        <v>34</v>
      </c>
      <c r="B16" s="7" t="s">
        <v>35</v>
      </c>
      <c r="C16" s="7" t="s">
        <v>24</v>
      </c>
      <c r="D16" s="8">
        <v>-209073</v>
      </c>
      <c r="E16" s="8">
        <v>6830</v>
      </c>
      <c r="F16" s="8">
        <v>1443</v>
      </c>
    </row>
    <row r="17" spans="1:6" x14ac:dyDescent="0.2">
      <c r="A17" s="9"/>
      <c r="B17" s="9"/>
      <c r="C17" s="9"/>
      <c r="D17" s="10"/>
      <c r="E17" s="10"/>
      <c r="F17" s="10"/>
    </row>
    <row r="18" spans="1:6" x14ac:dyDescent="0.2">
      <c r="A18" s="6" t="s">
        <v>36</v>
      </c>
      <c r="B18" s="7"/>
      <c r="C18" s="7"/>
      <c r="D18" s="8">
        <v>775339</v>
      </c>
      <c r="E18" s="8">
        <v>873847</v>
      </c>
      <c r="F18" s="8">
        <v>310727</v>
      </c>
    </row>
    <row r="19" spans="1:6" x14ac:dyDescent="0.2">
      <c r="A19" s="9" t="s">
        <v>37</v>
      </c>
      <c r="B19" s="9" t="s">
        <v>38</v>
      </c>
      <c r="C19" s="9" t="s">
        <v>24</v>
      </c>
      <c r="D19" s="10">
        <v>59877</v>
      </c>
      <c r="E19" s="10">
        <v>56626</v>
      </c>
      <c r="F19" s="10">
        <v>0</v>
      </c>
    </row>
    <row r="20" spans="1:6" x14ac:dyDescent="0.2">
      <c r="A20" s="9" t="s">
        <v>39</v>
      </c>
      <c r="B20" s="9"/>
      <c r="C20" s="9" t="s">
        <v>24</v>
      </c>
      <c r="D20" s="10">
        <v>0</v>
      </c>
      <c r="E20" s="10">
        <v>0</v>
      </c>
      <c r="F20" s="10">
        <v>0</v>
      </c>
    </row>
    <row r="21" spans="1:6" x14ac:dyDescent="0.2">
      <c r="A21" s="9" t="s">
        <v>40</v>
      </c>
      <c r="B21" s="9" t="s">
        <v>41</v>
      </c>
      <c r="C21" s="9" t="s">
        <v>24</v>
      </c>
      <c r="D21" s="10">
        <v>197659</v>
      </c>
      <c r="E21" s="10">
        <v>49299</v>
      </c>
      <c r="F21" s="10">
        <v>0</v>
      </c>
    </row>
    <row r="22" spans="1:6" x14ac:dyDescent="0.2">
      <c r="A22" s="9" t="s">
        <v>42</v>
      </c>
      <c r="B22" s="9" t="s">
        <v>43</v>
      </c>
      <c r="C22" s="9" t="s">
        <v>44</v>
      </c>
      <c r="D22" s="10">
        <v>120737</v>
      </c>
      <c r="E22" s="10">
        <v>288997</v>
      </c>
      <c r="F22" s="10">
        <v>-31000</v>
      </c>
    </row>
    <row r="23" spans="1:6" x14ac:dyDescent="0.2">
      <c r="A23" s="9" t="s">
        <v>45</v>
      </c>
      <c r="B23" s="9"/>
      <c r="C23" s="9"/>
      <c r="D23" s="10">
        <v>62113</v>
      </c>
      <c r="E23" s="10">
        <v>0</v>
      </c>
      <c r="F23" s="10">
        <v>0</v>
      </c>
    </row>
    <row r="24" spans="1:6" x14ac:dyDescent="0.2">
      <c r="A24" s="9" t="s">
        <v>46</v>
      </c>
      <c r="B24" s="9"/>
      <c r="C24" s="9" t="s">
        <v>24</v>
      </c>
      <c r="D24" s="10">
        <v>99681</v>
      </c>
      <c r="E24" s="10">
        <v>76885</v>
      </c>
      <c r="F24" s="10">
        <v>0</v>
      </c>
    </row>
    <row r="25" spans="1:6" x14ac:dyDescent="0.2">
      <c r="A25" s="9" t="s">
        <v>47</v>
      </c>
      <c r="B25" s="9" t="s">
        <v>48</v>
      </c>
      <c r="C25" s="9" t="s">
        <v>49</v>
      </c>
      <c r="D25" s="10">
        <v>-7595</v>
      </c>
      <c r="E25" s="10">
        <v>0</v>
      </c>
      <c r="F25" s="10">
        <v>16389</v>
      </c>
    </row>
    <row r="26" spans="1:6" x14ac:dyDescent="0.2">
      <c r="A26" s="9" t="s">
        <v>50</v>
      </c>
      <c r="B26" s="9" t="s">
        <v>51</v>
      </c>
      <c r="C26" s="9" t="s">
        <v>24</v>
      </c>
      <c r="D26" s="10">
        <v>-12144</v>
      </c>
      <c r="E26" s="10">
        <v>64318</v>
      </c>
      <c r="F26" s="10">
        <v>6242</v>
      </c>
    </row>
    <row r="27" spans="1:6" x14ac:dyDescent="0.2">
      <c r="A27" s="9" t="s">
        <v>52</v>
      </c>
      <c r="B27" s="9" t="s">
        <v>43</v>
      </c>
      <c r="C27" s="9" t="s">
        <v>53</v>
      </c>
      <c r="D27" s="10">
        <v>0</v>
      </c>
      <c r="E27" s="10">
        <v>0</v>
      </c>
      <c r="F27" s="10">
        <v>852</v>
      </c>
    </row>
    <row r="28" spans="1:6" x14ac:dyDescent="0.2">
      <c r="A28" s="9" t="s">
        <v>54</v>
      </c>
      <c r="B28" s="9"/>
      <c r="C28" s="9" t="s">
        <v>49</v>
      </c>
      <c r="D28" s="10">
        <v>255012</v>
      </c>
      <c r="E28" s="10">
        <v>183616</v>
      </c>
      <c r="F28" s="10">
        <v>0</v>
      </c>
    </row>
    <row r="29" spans="1:6" x14ac:dyDescent="0.2">
      <c r="A29" s="9" t="s">
        <v>32</v>
      </c>
      <c r="B29" s="9"/>
      <c r="C29" s="9" t="s">
        <v>49</v>
      </c>
      <c r="D29" s="10">
        <v>0</v>
      </c>
      <c r="E29" s="10">
        <v>154105</v>
      </c>
      <c r="F29" s="10">
        <v>318244</v>
      </c>
    </row>
    <row r="30" spans="1:6" x14ac:dyDescent="0.2">
      <c r="A30" s="9"/>
      <c r="B30" s="9"/>
      <c r="C30" s="9"/>
      <c r="D30" s="10"/>
      <c r="E30" s="10"/>
      <c r="F30" s="10"/>
    </row>
    <row r="31" spans="1:6" x14ac:dyDescent="0.2">
      <c r="A31" s="6" t="s">
        <v>55</v>
      </c>
      <c r="B31" s="7"/>
      <c r="C31" s="7"/>
      <c r="D31" s="8">
        <v>1609645</v>
      </c>
      <c r="E31" s="8">
        <v>1117394</v>
      </c>
      <c r="F31" s="8">
        <v>486659</v>
      </c>
    </row>
    <row r="32" spans="1:6" x14ac:dyDescent="0.2">
      <c r="A32" s="9" t="s">
        <v>56</v>
      </c>
      <c r="B32" s="9" t="s">
        <v>57</v>
      </c>
      <c r="C32" s="9" t="s">
        <v>24</v>
      </c>
      <c r="D32" s="10">
        <v>643312</v>
      </c>
      <c r="E32" s="10">
        <v>425371</v>
      </c>
      <c r="F32" s="10">
        <v>0</v>
      </c>
    </row>
    <row r="33" spans="1:6" x14ac:dyDescent="0.2">
      <c r="A33" s="9" t="s">
        <v>58</v>
      </c>
      <c r="B33" s="9"/>
      <c r="C33" s="9" t="s">
        <v>24</v>
      </c>
      <c r="D33" s="10">
        <v>45960</v>
      </c>
      <c r="E33" s="10">
        <v>0</v>
      </c>
      <c r="F33" s="10">
        <v>0</v>
      </c>
    </row>
    <row r="34" spans="1:6" x14ac:dyDescent="0.2">
      <c r="A34" s="9" t="s">
        <v>59</v>
      </c>
      <c r="B34" s="9" t="s">
        <v>60</v>
      </c>
      <c r="C34" s="9" t="s">
        <v>61</v>
      </c>
      <c r="D34" s="10">
        <v>79241</v>
      </c>
      <c r="E34" s="10">
        <v>80195</v>
      </c>
      <c r="F34" s="10">
        <v>0</v>
      </c>
    </row>
    <row r="35" spans="1:6" x14ac:dyDescent="0.2">
      <c r="A35" s="9" t="s">
        <v>32</v>
      </c>
      <c r="B35" s="9"/>
      <c r="C35" s="9" t="s">
        <v>49</v>
      </c>
      <c r="D35" s="10">
        <v>841132</v>
      </c>
      <c r="E35" s="10">
        <v>611829</v>
      </c>
      <c r="F35" s="10">
        <v>486659</v>
      </c>
    </row>
    <row r="36" spans="1:6" x14ac:dyDescent="0.2">
      <c r="A36" s="9"/>
      <c r="B36" s="9"/>
      <c r="C36" s="9"/>
      <c r="D36" s="10"/>
      <c r="E36" s="10"/>
      <c r="F36" s="10"/>
    </row>
    <row r="37" spans="1:6" x14ac:dyDescent="0.2">
      <c r="A37" s="6" t="s">
        <v>62</v>
      </c>
      <c r="B37" s="7" t="s">
        <v>63</v>
      </c>
      <c r="C37" s="7" t="s">
        <v>24</v>
      </c>
      <c r="D37" s="8">
        <v>2822</v>
      </c>
      <c r="E37" s="8">
        <v>0</v>
      </c>
      <c r="F37" s="8">
        <v>0</v>
      </c>
    </row>
    <row r="38" spans="1:6" x14ac:dyDescent="0.2">
      <c r="A38" s="9"/>
      <c r="B38" s="9"/>
      <c r="C38" s="9"/>
      <c r="D38" s="10"/>
      <c r="E38" s="10"/>
      <c r="F38" s="10"/>
    </row>
    <row r="39" spans="1:6" x14ac:dyDescent="0.2">
      <c r="A39" s="6" t="s">
        <v>64</v>
      </c>
      <c r="B39" s="7" t="s">
        <v>65</v>
      </c>
      <c r="C39" s="7" t="s">
        <v>24</v>
      </c>
      <c r="D39" s="8">
        <v>393053</v>
      </c>
      <c r="E39" s="8">
        <v>408912</v>
      </c>
      <c r="F39" s="8">
        <v>0</v>
      </c>
    </row>
    <row r="40" spans="1:6" x14ac:dyDescent="0.2">
      <c r="A40" s="9"/>
      <c r="B40" s="9"/>
      <c r="C40" s="9"/>
      <c r="D40" s="10"/>
      <c r="E40" s="10"/>
      <c r="F40" s="10"/>
    </row>
    <row r="41" spans="1:6" x14ac:dyDescent="0.2">
      <c r="A41" s="6" t="s">
        <v>66</v>
      </c>
      <c r="B41" s="7" t="s">
        <v>67</v>
      </c>
      <c r="C41" s="7" t="s">
        <v>24</v>
      </c>
      <c r="D41" s="8">
        <v>0</v>
      </c>
      <c r="E41" s="8">
        <v>0</v>
      </c>
      <c r="F41" s="8">
        <v>9780</v>
      </c>
    </row>
    <row r="42" spans="1:6" x14ac:dyDescent="0.2">
      <c r="A42" s="9"/>
      <c r="B42" s="9"/>
      <c r="C42" s="9"/>
      <c r="D42" s="10"/>
      <c r="E42" s="10"/>
      <c r="F42" s="10"/>
    </row>
    <row r="43" spans="1:6" x14ac:dyDescent="0.2">
      <c r="A43" s="6" t="s">
        <v>68</v>
      </c>
      <c r="B43" s="7" t="s">
        <v>69</v>
      </c>
      <c r="C43" s="7" t="s">
        <v>49</v>
      </c>
      <c r="D43" s="8">
        <v>-2006</v>
      </c>
      <c r="E43" s="8">
        <v>0</v>
      </c>
      <c r="F43" s="8">
        <v>0</v>
      </c>
    </row>
    <row r="44" spans="1:6" x14ac:dyDescent="0.2">
      <c r="A44" s="9"/>
      <c r="B44" s="9"/>
      <c r="C44" s="9"/>
      <c r="D44" s="10"/>
      <c r="E44" s="10"/>
      <c r="F44" s="10"/>
    </row>
    <row r="45" spans="1:6" x14ac:dyDescent="0.2">
      <c r="A45" s="6" t="s">
        <v>70</v>
      </c>
      <c r="B45" s="7" t="s">
        <v>71</v>
      </c>
      <c r="C45" s="7" t="s">
        <v>24</v>
      </c>
      <c r="D45" s="8">
        <v>0</v>
      </c>
      <c r="E45" s="8">
        <v>0</v>
      </c>
      <c r="F45" s="8">
        <v>25583</v>
      </c>
    </row>
    <row r="46" spans="1:6" x14ac:dyDescent="0.2">
      <c r="A46" s="9"/>
      <c r="B46" s="9"/>
      <c r="C46" s="9"/>
      <c r="D46" s="10"/>
      <c r="E46" s="10"/>
      <c r="F46" s="10"/>
    </row>
    <row r="47" spans="1:6" x14ac:dyDescent="0.2">
      <c r="A47" s="6" t="s">
        <v>72</v>
      </c>
      <c r="B47" s="7" t="s">
        <v>73</v>
      </c>
      <c r="C47" s="7" t="s">
        <v>73</v>
      </c>
      <c r="D47" s="8">
        <v>20341236</v>
      </c>
      <c r="E47" s="8">
        <v>17530066</v>
      </c>
      <c r="F47" s="8">
        <v>4233072</v>
      </c>
    </row>
    <row r="48" spans="1:6" x14ac:dyDescent="0.2">
      <c r="A48" s="9"/>
      <c r="B48" s="9"/>
      <c r="C48" s="9"/>
      <c r="D48" s="10">
        <f>D45+D43+D41+D39+D37+D31+D18+D16+D13+D6+D3</f>
        <v>20341236</v>
      </c>
      <c r="E48" s="10">
        <f t="shared" ref="E48:F48" si="0">E45+E43+E41+E39+E37+E31+E18+E16+E13+E6+E3</f>
        <v>17530065</v>
      </c>
      <c r="F48" s="10">
        <f t="shared" si="0"/>
        <v>4233070</v>
      </c>
    </row>
    <row r="49" spans="1:6" x14ac:dyDescent="0.2">
      <c r="A49" s="9" t="s">
        <v>74</v>
      </c>
      <c r="B49" s="9"/>
      <c r="C49" s="9"/>
      <c r="D49" s="10"/>
      <c r="E49" s="10"/>
      <c r="F49" s="10"/>
    </row>
    <row r="50" spans="1:6" x14ac:dyDescent="0.2">
      <c r="A50" s="9" t="s">
        <v>75</v>
      </c>
      <c r="B50" s="9"/>
      <c r="C50" s="9"/>
      <c r="D50" s="10"/>
      <c r="E50" s="10"/>
      <c r="F50" s="10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4D9F-E92D-924D-A28A-8A577E720117}">
  <dimension ref="A1:F13"/>
  <sheetViews>
    <sheetView tabSelected="1" workbookViewId="0">
      <selection sqref="A1:F13"/>
    </sheetView>
  </sheetViews>
  <sheetFormatPr baseColWidth="10" defaultRowHeight="16" x14ac:dyDescent="0.2"/>
  <cols>
    <col min="1" max="1" width="48.6640625" bestFit="1" customWidth="1"/>
    <col min="2" max="2" width="38.6640625" bestFit="1" customWidth="1"/>
    <col min="3" max="3" width="25" bestFit="1" customWidth="1"/>
    <col min="4" max="4" width="9.1640625" bestFit="1" customWidth="1"/>
  </cols>
  <sheetData>
    <row r="1" spans="1:6" x14ac:dyDescent="0.2">
      <c r="A1" t="s">
        <v>19</v>
      </c>
      <c r="B1" t="s">
        <v>20</v>
      </c>
      <c r="C1" t="s">
        <v>21</v>
      </c>
      <c r="D1" t="s">
        <v>2</v>
      </c>
      <c r="E1" t="s">
        <v>3</v>
      </c>
      <c r="F1" t="s">
        <v>4</v>
      </c>
    </row>
    <row r="2" spans="1:6" x14ac:dyDescent="0.2">
      <c r="A2" t="s">
        <v>22</v>
      </c>
      <c r="D2">
        <v>5223556</v>
      </c>
      <c r="E2">
        <v>5069512</v>
      </c>
      <c r="F2">
        <v>991446</v>
      </c>
    </row>
    <row r="3" spans="1:6" x14ac:dyDescent="0.2">
      <c r="A3" t="s">
        <v>25</v>
      </c>
      <c r="D3">
        <v>2663244</v>
      </c>
      <c r="E3">
        <v>1116093</v>
      </c>
      <c r="F3">
        <v>685245</v>
      </c>
    </row>
    <row r="4" spans="1:6" x14ac:dyDescent="0.2">
      <c r="A4" t="s">
        <v>33</v>
      </c>
      <c r="D4">
        <v>9884656</v>
      </c>
      <c r="E4">
        <v>8937477</v>
      </c>
      <c r="F4">
        <v>1722187</v>
      </c>
    </row>
    <row r="5" spans="1:6" x14ac:dyDescent="0.2">
      <c r="A5" t="s">
        <v>34</v>
      </c>
      <c r="B5" t="s">
        <v>35</v>
      </c>
      <c r="C5" t="s">
        <v>24</v>
      </c>
      <c r="D5">
        <v>-209073</v>
      </c>
      <c r="E5">
        <v>6830</v>
      </c>
      <c r="F5">
        <v>1443</v>
      </c>
    </row>
    <row r="6" spans="1:6" x14ac:dyDescent="0.2">
      <c r="A6" t="s">
        <v>36</v>
      </c>
      <c r="D6">
        <v>775339</v>
      </c>
      <c r="E6">
        <v>873847</v>
      </c>
      <c r="F6">
        <v>310727</v>
      </c>
    </row>
    <row r="7" spans="1:6" x14ac:dyDescent="0.2">
      <c r="A7" t="s">
        <v>55</v>
      </c>
      <c r="D7">
        <v>1609645</v>
      </c>
      <c r="E7">
        <v>1117394</v>
      </c>
      <c r="F7">
        <v>486659</v>
      </c>
    </row>
    <row r="8" spans="1:6" x14ac:dyDescent="0.2">
      <c r="A8" t="s">
        <v>62</v>
      </c>
      <c r="B8" t="s">
        <v>63</v>
      </c>
      <c r="C8" t="s">
        <v>24</v>
      </c>
      <c r="D8">
        <v>2822</v>
      </c>
      <c r="E8">
        <v>0</v>
      </c>
      <c r="F8">
        <v>0</v>
      </c>
    </row>
    <row r="9" spans="1:6" x14ac:dyDescent="0.2">
      <c r="A9" t="s">
        <v>64</v>
      </c>
      <c r="B9" t="s">
        <v>65</v>
      </c>
      <c r="C9" t="s">
        <v>24</v>
      </c>
      <c r="D9">
        <v>393053</v>
      </c>
      <c r="E9">
        <v>408912</v>
      </c>
      <c r="F9">
        <v>0</v>
      </c>
    </row>
    <row r="10" spans="1:6" x14ac:dyDescent="0.2">
      <c r="A10" t="s">
        <v>66</v>
      </c>
      <c r="B10" t="s">
        <v>67</v>
      </c>
      <c r="C10" t="s">
        <v>24</v>
      </c>
      <c r="D10">
        <v>0</v>
      </c>
      <c r="E10">
        <v>0</v>
      </c>
      <c r="F10">
        <v>9780</v>
      </c>
    </row>
    <row r="11" spans="1:6" x14ac:dyDescent="0.2">
      <c r="A11" t="s">
        <v>68</v>
      </c>
      <c r="B11" t="s">
        <v>69</v>
      </c>
      <c r="C11" t="s">
        <v>49</v>
      </c>
      <c r="D11">
        <v>-2006</v>
      </c>
      <c r="E11">
        <v>0</v>
      </c>
      <c r="F11">
        <v>0</v>
      </c>
    </row>
    <row r="12" spans="1:6" x14ac:dyDescent="0.2">
      <c r="A12" t="s">
        <v>70</v>
      </c>
      <c r="B12" t="s">
        <v>71</v>
      </c>
      <c r="C12" t="s">
        <v>24</v>
      </c>
      <c r="D12">
        <v>0</v>
      </c>
      <c r="E12">
        <v>0</v>
      </c>
      <c r="F12">
        <v>25583</v>
      </c>
    </row>
    <row r="13" spans="1:6" x14ac:dyDescent="0.2">
      <c r="A13" t="s">
        <v>72</v>
      </c>
      <c r="B13" t="s">
        <v>73</v>
      </c>
      <c r="C13" t="s">
        <v>73</v>
      </c>
      <c r="D13">
        <v>20341236</v>
      </c>
      <c r="E13">
        <v>17530066</v>
      </c>
      <c r="F13">
        <v>4233072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rr_ab67</vt:lpstr>
      <vt:lpstr>rate_base</vt:lpstr>
      <vt:lpstr>detailed_rr</vt:lpstr>
      <vt:lpstr>rr_lineitems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Madalsa Singh</dc:creator>
  <cp:lastModifiedBy>Madalsa Singh</cp:lastModifiedBy>
  <dcterms:created xsi:type="dcterms:W3CDTF">2026-04-07T19:49:38Z</dcterms:created>
  <dcterms:modified xsi:type="dcterms:W3CDTF">2026-04-08T16:43:58Z</dcterms:modified>
</cp:coreProperties>
</file>